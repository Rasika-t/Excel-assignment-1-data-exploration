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entri\"/>
    </mc:Choice>
  </mc:AlternateContent>
  <bookViews>
    <workbookView xWindow="0" yWindow="0" windowWidth="23040" windowHeight="9192" activeTab="1"/>
  </bookViews>
  <sheets>
    <sheet name="Data Sheet" sheetId="1" r:id="rId1"/>
    <sheet name="Analysis 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2" l="1"/>
  <c r="B16" i="2"/>
  <c r="B13" i="2"/>
  <c r="B12" i="2"/>
  <c r="B11" i="2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B15" i="2"/>
  <c r="B14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</calcChain>
</file>

<file path=xl/sharedStrings.xml><?xml version="1.0" encoding="utf-8"?>
<sst xmlns="http://schemas.openxmlformats.org/spreadsheetml/2006/main" count="178" uniqueCount="129">
  <si>
    <t>EXCEL ASSIGNMENT 1 - DATA EXPLORATION &amp; ANALYSIS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</si>
  <si>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</si>
  <si>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</si>
  <si>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</si>
  <si>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</si>
  <si>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</si>
  <si>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</si>
  <si>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</si>
  <si>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</si>
  <si>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</si>
  <si>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</si>
  <si>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</si>
  <si>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</si>
  <si>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</si>
  <si>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</si>
  <si>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</si>
  <si>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</si>
  <si>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</si>
  <si>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</si>
  <si>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</si>
  <si>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</si>
  <si>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</si>
  <si>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</si>
  <si>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</si>
  <si>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</si>
  <si>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</si>
  <si>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</si>
  <si>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</si>
  <si>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</si>
  <si>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</si>
  <si>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</si>
  <si>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</si>
  <si>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</si>
  <si>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</si>
  <si>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</si>
  <si>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</si>
  <si>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</si>
  <si>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</si>
  <si>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</si>
  <si>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</si>
  <si>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</si>
  <si>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</si>
  <si>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</si>
  <si>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</si>
  <si>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</si>
  <si>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</si>
  <si>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</si>
  <si>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</si>
  <si>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</si>
  <si>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</si>
  <si>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</si>
  <si>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</si>
  <si>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</si>
  <si>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</si>
  <si>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</si>
  <si>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</si>
  <si>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</si>
  <si>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</si>
  <si>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</si>
  <si>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</si>
  <si>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</si>
  <si>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</si>
  <si>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</si>
  <si>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</si>
  <si>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</si>
  <si>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</si>
  <si>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</si>
  <si>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</si>
  <si>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</si>
  <si>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</si>
  <si>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</si>
  <si>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</si>
  <si>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</si>
  <si>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</si>
  <si>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</si>
  <si>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</si>
  <si>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</si>
  <si>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</si>
  <si>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</si>
  <si>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</si>
  <si>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</si>
  <si>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</si>
  <si>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</si>
  <si>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</si>
  <si>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</si>
  <si>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</si>
  <si>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</si>
  <si>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</si>
  <si>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</si>
  <si>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</si>
  <si>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</si>
  <si>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</si>
  <si>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</si>
  <si>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</si>
  <si>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DATASET &amp; EXTRACTED FIELDS</t>
  </si>
  <si>
    <t>Day</t>
  </si>
  <si>
    <t>Country Code</t>
  </si>
  <si>
    <t>Month</t>
  </si>
  <si>
    <t>Price Range</t>
  </si>
  <si>
    <t>EXCEL ASSIGNMENT 1 - EXECUTIVE ANALYSIS REPORT</t>
  </si>
  <si>
    <t>KPI SUMMARY &amp; STATISTICAL METRICS</t>
  </si>
  <si>
    <t>TOTAL PRODUCTS</t>
  </si>
  <si>
    <t>AVERAGE</t>
  </si>
  <si>
    <t>ELECTRONICS TOTAL</t>
  </si>
  <si>
    <t>PRODUCT&lt;$100</t>
  </si>
  <si>
    <t>STATISTICAL &amp; CONDITIONAL SUMMARY TABLE</t>
  </si>
  <si>
    <t>Metric Description</t>
  </si>
  <si>
    <t>Calculated Values</t>
  </si>
  <si>
    <t>Excel Formula Applied</t>
  </si>
  <si>
    <t>TOTAL REVENUE</t>
  </si>
  <si>
    <t>Total Price of products</t>
  </si>
  <si>
    <t>Total Product Count</t>
  </si>
  <si>
    <t xml:space="preserve">Average Product Price </t>
  </si>
  <si>
    <t xml:space="preserve">Minimum Product Price </t>
  </si>
  <si>
    <t>MIN</t>
  </si>
  <si>
    <t>MAX</t>
  </si>
  <si>
    <t>SUMIF</t>
  </si>
  <si>
    <t>COUNTIF</t>
  </si>
  <si>
    <t xml:space="preserve"> COUNTA</t>
  </si>
  <si>
    <t xml:space="preserve"> SUM</t>
  </si>
  <si>
    <t>Total Price - Electronics</t>
  </si>
  <si>
    <t>Maximum Product Price</t>
  </si>
  <si>
    <t xml:space="preserve">Count of Products Under $100 </t>
  </si>
  <si>
    <t>AVERAGE PRICE</t>
  </si>
  <si>
    <t>formula =sum(db_sheet[price])</t>
  </si>
  <si>
    <t>Formula =COUNTA(db_sheet[Product ID])</t>
  </si>
  <si>
    <t>Formula =AVERAGE(db_sheet[Price ($)])</t>
  </si>
  <si>
    <t>Formula=SUMIF(db_sheet[Category],"electronics",db_sheet[Price ($)])</t>
  </si>
  <si>
    <t>Formula=COUNTIF(db_sheet[Price ($)], "&lt;100")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</si>
</sst>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4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/>
        <bgColor rgb="FF4DD0E1"/>
      </patternFill>
    </fill>
    <fill>
      <patternFill patternType="solid">
        <fgColor theme="5" tint="0.79998168889431442"/>
        <bgColor rgb="FFE0F7FA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BF9D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4" borderId="1" xfId="2" applyFont="1" applyFill="1" applyBorder="1" applyAlignment="1">
      <alignment horizontal="center"/>
    </xf>
    <xf numFmtId="0" fontId="6" fillId="4" borderId="2" xfId="2" applyFont="1" applyFill="1" applyBorder="1" applyAlignment="1">
      <alignment horizontal="center"/>
    </xf>
    <xf numFmtId="0" fontId="6" fillId="6" borderId="2" xfId="2" applyFont="1" applyFill="1" applyBorder="1" applyAlignment="1">
      <alignment horizontal="center"/>
    </xf>
    <xf numFmtId="0" fontId="6" fillId="6" borderId="3" xfId="2" applyFont="1" applyFill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7" fillId="7" borderId="5" xfId="2" applyFont="1" applyFill="1" applyBorder="1" applyAlignment="1">
      <alignment horizontal="center"/>
    </xf>
    <xf numFmtId="0" fontId="7" fillId="7" borderId="6" xfId="2" applyFont="1" applyFill="1" applyBorder="1" applyAlignment="1">
      <alignment horizontal="center"/>
    </xf>
    <xf numFmtId="0" fontId="7" fillId="5" borderId="4" xfId="2" applyFont="1" applyFill="1" applyBorder="1" applyAlignment="1">
      <alignment horizontal="center"/>
    </xf>
    <xf numFmtId="0" fontId="7" fillId="5" borderId="5" xfId="2" applyFont="1" applyFill="1" applyBorder="1" applyAlignment="1">
      <alignment horizontal="center"/>
    </xf>
    <xf numFmtId="0" fontId="7" fillId="5" borderId="7" xfId="2" applyFont="1" applyFill="1" applyBorder="1" applyAlignment="1">
      <alignment horizontal="center"/>
    </xf>
    <xf numFmtId="0" fontId="7" fillId="5" borderId="8" xfId="2" applyFont="1" applyFill="1" applyBorder="1" applyAlignment="1">
      <alignment horizontal="center"/>
    </xf>
    <xf numFmtId="0" fontId="7" fillId="7" borderId="8" xfId="2" applyFont="1" applyFill="1" applyBorder="1" applyAlignment="1">
      <alignment horizontal="center"/>
    </xf>
    <xf numFmtId="0" fontId="7" fillId="7" borderId="9" xfId="2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/>
    </xf>
    <xf numFmtId="2" fontId="0" fillId="10" borderId="10" xfId="0" applyNumberForma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3" fillId="2" borderId="9" xfId="1" applyFont="1" applyBorder="1" applyAlignment="1">
      <alignment horizontal="center"/>
    </xf>
    <xf numFmtId="0" fontId="3" fillId="2" borderId="7" xfId="1" applyFont="1" applyBorder="1" applyAlignment="1">
      <alignment horizontal="center"/>
    </xf>
    <xf numFmtId="8" fontId="3" fillId="2" borderId="11" xfId="1" applyNumberFormat="1" applyFont="1" applyBorder="1" applyAlignment="1">
      <alignment horizontal="center" vertical="center"/>
    </xf>
    <xf numFmtId="0" fontId="3" fillId="2" borderId="12" xfId="1" applyFont="1" applyBorder="1" applyAlignment="1">
      <alignment horizontal="center" vertical="center"/>
    </xf>
    <xf numFmtId="0" fontId="3" fillId="2" borderId="11" xfId="1" applyFont="1" applyBorder="1" applyAlignment="1">
      <alignment horizontal="center" vertical="center"/>
    </xf>
    <xf numFmtId="0" fontId="10" fillId="2" borderId="3" xfId="1" applyFont="1" applyBorder="1" applyAlignment="1">
      <alignment horizontal="center"/>
    </xf>
    <xf numFmtId="0" fontId="3" fillId="2" borderId="1" xfId="1" applyFont="1" applyBorder="1" applyAlignment="1">
      <alignment horizontal="center"/>
    </xf>
    <xf numFmtId="6" fontId="3" fillId="2" borderId="11" xfId="1" applyNumberFormat="1" applyFont="1" applyBorder="1" applyAlignment="1">
      <alignment horizontal="center" vertical="center"/>
    </xf>
    <xf numFmtId="0" fontId="3" fillId="2" borderId="3" xfId="1" applyFont="1" applyBorder="1" applyAlignment="1">
      <alignment horizontal="left"/>
    </xf>
    <xf numFmtId="0" fontId="3" fillId="2" borderId="1" xfId="1" applyFont="1" applyBorder="1" applyAlignment="1">
      <alignment horizontal="left"/>
    </xf>
    <xf numFmtId="0" fontId="10" fillId="2" borderId="3" xfId="1" applyFont="1" applyBorder="1" applyAlignment="1">
      <alignment horizontal="left"/>
    </xf>
  </cellXfs>
  <cellStyles count="3">
    <cellStyle name="20% - Accent2" xfId="1" builtinId="34"/>
    <cellStyle name="Normal" xfId="0" builtinId="0"/>
    <cellStyle name="Normal 2" xfId="2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rgb="FFE0F7FA"/>
          <bgColor theme="5" tint="0.7999816888943144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rgb="FFE0F7FA"/>
          <bgColor theme="5" tint="0.7999816888943144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rgb="FFE0F7FA"/>
          <bgColor theme="5" tint="0.7999816888943144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rgb="FFE0F7FA"/>
          <bgColor theme="5" tint="0.79998168889431442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rgb="FFE0F7FA"/>
          <bgColor rgb="FFE0F7FA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rgb="FFE0F7FA"/>
          <bgColor rgb="FFE0F7FA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rgb="FFE0F7FA"/>
          <bgColor rgb="FFE0F7FA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rgb="FFE0F7FA"/>
          <bgColor rgb="FFE0F7FA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rgb="FFE0F7FA"/>
          <bgColor rgb="FFE0F7FA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rgb="FFE0F7FA"/>
          <bgColor rgb="FFE0F7FA"/>
        </patternFill>
      </fill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BF9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b_sheet" displayName="db_sheet" ref="A4:J38" totalsRowShown="0" headerRowDxfId="14" dataDxfId="12" headerRowBorderDxfId="13" tableBorderDxfId="11" totalsRowBorderDxfId="10" headerRowCellStyle="Normal 2" dataCellStyle="Normal 2">
  <tableColumns count="10">
    <tableColumn id="1" name="Product ID" dataDxfId="9" dataCellStyle="Normal 2"/>
    <tableColumn id="2" name="Product Name" dataDxfId="8" dataCellStyle="Normal 2"/>
    <tableColumn id="3" name="Brand Name" dataDxfId="7" dataCellStyle="Normal 2"/>
    <tableColumn id="4" name="Price ($)" dataDxfId="6" dataCellStyle="Normal 2"/>
    <tableColumn id="5" name="Quantity" dataDxfId="5" dataCellStyle="Normal 2"/>
    <tableColumn id="6" name="Category" dataDxfId="4" dataCellStyle="Normal 2"/>
    <tableColumn id="7" name="Price Range" dataDxfId="3" dataCellStyle="Normal 2">
      <calculatedColumnFormula>IF(db_sheet[Price ($)]&gt;=500,"High Price","Standardprice")</calculatedColumnFormula>
    </tableColumn>
    <tableColumn id="8" name="Day" dataDxfId="2" dataCellStyle="Normal 2">
      <calculatedColumnFormula>LEFT(db_sheet[Product ID],2)</calculatedColumnFormula>
    </tableColumn>
    <tableColumn id="9" name="Country Code" dataDxfId="1" dataCellStyle="Normal 2">
      <calculatedColumnFormula>RIGHT(db_sheet[Product ID],2)</calculatedColumnFormula>
    </tableColumn>
    <tableColumn id="10" name="Month" dataDxfId="0" dataCellStyle="Normal 2">
      <calculatedColumnFormula>MID(db_sheet[Product ID],4,3)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8"/>
  <sheetViews>
    <sheetView workbookViewId="0">
      <selection activeCell="A6" sqref="A6"/>
    </sheetView>
  </sheetViews>
  <sheetFormatPr defaultRowHeight="14.4" x14ac:dyDescent="0.3"/>
  <cols>
    <col min="1" max="1" width="23" style="1" customWidth="1"/>
    <col min="2" max="2" width="20.77734375" style="1" customWidth="1"/>
    <col min="3" max="3" width="25" style="1" customWidth="1"/>
    <col min="4" max="4" width="13.6640625" style="1" customWidth="1"/>
    <col min="5" max="5" width="16.21875" style="1" customWidth="1"/>
    <col min="6" max="6" width="23.33203125" style="1" customWidth="1"/>
    <col min="7" max="7" width="15.44140625" customWidth="1"/>
    <col min="8" max="8" width="12.33203125" customWidth="1"/>
    <col min="9" max="9" width="16.33203125" customWidth="1"/>
    <col min="10" max="10" width="13" customWidth="1"/>
  </cols>
  <sheetData>
    <row r="1" spans="1:13" ht="40.049999999999997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3" ht="23.4" customHeight="1" x14ac:dyDescent="0.3">
      <c r="A2" s="22" t="s">
        <v>94</v>
      </c>
      <c r="B2" s="21"/>
      <c r="C2" s="21"/>
      <c r="D2" s="21"/>
      <c r="E2" s="21"/>
      <c r="F2" s="21"/>
      <c r="G2" s="21"/>
      <c r="H2" s="21"/>
      <c r="I2" s="21"/>
      <c r="J2" s="21"/>
    </row>
    <row r="4" spans="1:13" ht="15.6" x14ac:dyDescent="0.3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5" t="s">
        <v>98</v>
      </c>
      <c r="H4" s="5" t="s">
        <v>95</v>
      </c>
      <c r="I4" s="5" t="s">
        <v>96</v>
      </c>
      <c r="J4" s="6" t="s">
        <v>97</v>
      </c>
    </row>
    <row r="5" spans="1:13" ht="15.6" x14ac:dyDescent="0.3">
      <c r="A5" s="7" t="s">
        <v>7</v>
      </c>
      <c r="B5" s="8" t="s">
        <v>8</v>
      </c>
      <c r="C5" s="8" t="s">
        <v>9</v>
      </c>
      <c r="D5" s="8">
        <v>1000</v>
      </c>
      <c r="E5" s="8">
        <v>30</v>
      </c>
      <c r="F5" s="8" t="s">
        <v>10</v>
      </c>
      <c r="G5" s="9" t="str">
        <f>IF(db_sheet[Price ($)]&gt;=500,"High Price","Standardprice")</f>
        <v>High Price</v>
      </c>
      <c r="H5" s="9" t="str">
        <f>LEFT(db_sheet[Product ID],2)</f>
        <v>28</v>
      </c>
      <c r="I5" s="9" t="str">
        <f>RIGHT(db_sheet[Product ID],2)</f>
        <v>US</v>
      </c>
      <c r="J5" s="10" t="str">
        <f>MID(db_sheet[Product ID],4,3)</f>
        <v>JAN</v>
      </c>
    </row>
    <row r="6" spans="1:13" ht="15.6" x14ac:dyDescent="0.3">
      <c r="A6" s="11" t="s">
        <v>11</v>
      </c>
      <c r="B6" s="12" t="s">
        <v>12</v>
      </c>
      <c r="C6" s="12" t="s">
        <v>13</v>
      </c>
      <c r="D6" s="12">
        <v>80</v>
      </c>
      <c r="E6" s="12">
        <v>15</v>
      </c>
      <c r="F6" s="12" t="s">
        <v>14</v>
      </c>
      <c r="G6" s="9" t="str">
        <f>IF(db_sheet[Price ($)]&gt;=500,"High Price","Standardprice")</f>
        <v>Standardprice</v>
      </c>
      <c r="H6" s="9" t="str">
        <f>LEFT(db_sheet[Product ID],2)</f>
        <v>15</v>
      </c>
      <c r="I6" s="9" t="str">
        <f>RIGHT(db_sheet[Product ID],2)</f>
        <v>US</v>
      </c>
      <c r="J6" s="10" t="str">
        <f>MID(db_sheet[Product ID],4,3)</f>
        <v>FEB</v>
      </c>
      <c r="M6" s="2"/>
    </row>
    <row r="7" spans="1:13" ht="15.6" x14ac:dyDescent="0.3">
      <c r="A7" s="7" t="s">
        <v>15</v>
      </c>
      <c r="B7" s="8" t="s">
        <v>16</v>
      </c>
      <c r="C7" s="8" t="s">
        <v>17</v>
      </c>
      <c r="D7" s="8">
        <v>130</v>
      </c>
      <c r="E7" s="8">
        <v>40</v>
      </c>
      <c r="F7" s="8" t="s">
        <v>18</v>
      </c>
      <c r="G7" s="9" t="str">
        <f>IF(db_sheet[Price ($)]&gt;=500,"High Price","Standardprice")</f>
        <v>Standardprice</v>
      </c>
      <c r="H7" s="9" t="str">
        <f>LEFT(db_sheet[Product ID],2)</f>
        <v>03</v>
      </c>
      <c r="I7" s="9" t="str">
        <f>RIGHT(db_sheet[Product ID],2)</f>
        <v>US</v>
      </c>
      <c r="J7" s="10" t="str">
        <f>MID(db_sheet[Product ID],4,3)</f>
        <v>MAR</v>
      </c>
    </row>
    <row r="8" spans="1:13" ht="15.6" x14ac:dyDescent="0.3">
      <c r="A8" s="11" t="s">
        <v>19</v>
      </c>
      <c r="B8" s="12" t="s">
        <v>20</v>
      </c>
      <c r="C8" s="12" t="s">
        <v>21</v>
      </c>
      <c r="D8" s="12">
        <v>900</v>
      </c>
      <c r="E8" s="12">
        <v>25</v>
      </c>
      <c r="F8" s="12" t="s">
        <v>10</v>
      </c>
      <c r="G8" s="9" t="str">
        <f>IF(db_sheet[Price ($)]&gt;=500,"High Price","Standardprice")</f>
        <v>High Price</v>
      </c>
      <c r="H8" s="9" t="str">
        <f>LEFT(db_sheet[Product ID],2)</f>
        <v>11</v>
      </c>
      <c r="I8" s="9" t="str">
        <f>RIGHT(db_sheet[Product ID],2)</f>
        <v>US</v>
      </c>
      <c r="J8" s="10" t="str">
        <f>MID(db_sheet[Product ID],4,3)</f>
        <v>APR</v>
      </c>
    </row>
    <row r="9" spans="1:13" ht="15.6" x14ac:dyDescent="0.3">
      <c r="A9" s="7" t="s">
        <v>22</v>
      </c>
      <c r="B9" s="8" t="s">
        <v>23</v>
      </c>
      <c r="C9" s="8" t="s">
        <v>24</v>
      </c>
      <c r="D9" s="8">
        <v>70</v>
      </c>
      <c r="E9" s="8">
        <v>20</v>
      </c>
      <c r="F9" s="8" t="s">
        <v>25</v>
      </c>
      <c r="G9" s="9" t="str">
        <f>IF(db_sheet[Price ($)]&gt;=500,"High Price","Standardprice")</f>
        <v>Standardprice</v>
      </c>
      <c r="H9" s="9" t="str">
        <f>LEFT(db_sheet[Product ID],2)</f>
        <v>22</v>
      </c>
      <c r="I9" s="9" t="str">
        <f>RIGHT(db_sheet[Product ID],2)</f>
        <v>US</v>
      </c>
      <c r="J9" s="10" t="str">
        <f>MID(db_sheet[Product ID],4,3)</f>
        <v>MAY</v>
      </c>
    </row>
    <row r="10" spans="1:13" ht="15.6" x14ac:dyDescent="0.3">
      <c r="A10" s="11" t="s">
        <v>26</v>
      </c>
      <c r="B10" s="12" t="s">
        <v>27</v>
      </c>
      <c r="C10" s="12" t="s">
        <v>28</v>
      </c>
      <c r="D10" s="12">
        <v>200</v>
      </c>
      <c r="E10" s="12">
        <v>45</v>
      </c>
      <c r="F10" s="12" t="s">
        <v>10</v>
      </c>
      <c r="G10" s="9" t="str">
        <f>IF(db_sheet[Price ($)]&gt;=500,"High Price","Standardprice")</f>
        <v>Standardprice</v>
      </c>
      <c r="H10" s="9" t="str">
        <f>LEFT(db_sheet[Product ID],2)</f>
        <v>07</v>
      </c>
      <c r="I10" s="9" t="str">
        <f>RIGHT(db_sheet[Product ID],2)</f>
        <v>UK</v>
      </c>
      <c r="J10" s="10" t="str">
        <f>MID(db_sheet[Product ID],4,3)</f>
        <v>JUN</v>
      </c>
    </row>
    <row r="11" spans="1:13" ht="15.6" x14ac:dyDescent="0.3">
      <c r="A11" s="7" t="s">
        <v>29</v>
      </c>
      <c r="B11" s="8" t="s">
        <v>30</v>
      </c>
      <c r="C11" s="8" t="s">
        <v>31</v>
      </c>
      <c r="D11" s="8">
        <v>30</v>
      </c>
      <c r="E11" s="8">
        <v>5</v>
      </c>
      <c r="F11" s="8" t="s">
        <v>14</v>
      </c>
      <c r="G11" s="9" t="str">
        <f>IF(db_sheet[Price ($)]&gt;=500,"High Price","Standardprice")</f>
        <v>Standardprice</v>
      </c>
      <c r="H11" s="9" t="str">
        <f>LEFT(db_sheet[Product ID],2)</f>
        <v>19</v>
      </c>
      <c r="I11" s="9" t="str">
        <f>RIGHT(db_sheet[Product ID],2)</f>
        <v>UK</v>
      </c>
      <c r="J11" s="10" t="str">
        <f>MID(db_sheet[Product ID],4,3)</f>
        <v>JUL</v>
      </c>
    </row>
    <row r="12" spans="1:13" ht="15.6" x14ac:dyDescent="0.3">
      <c r="A12" s="11" t="s">
        <v>32</v>
      </c>
      <c r="B12" s="12" t="s">
        <v>33</v>
      </c>
      <c r="C12" s="12" t="s">
        <v>34</v>
      </c>
      <c r="D12" s="12">
        <v>90</v>
      </c>
      <c r="E12" s="12">
        <v>35</v>
      </c>
      <c r="F12" s="12" t="s">
        <v>18</v>
      </c>
      <c r="G12" s="9" t="str">
        <f>IF(db_sheet[Price ($)]&gt;=500,"High Price","Standardprice")</f>
        <v>Standardprice</v>
      </c>
      <c r="H12" s="9" t="str">
        <f>LEFT(db_sheet[Product ID],2)</f>
        <v>23</v>
      </c>
      <c r="I12" s="9" t="str">
        <f>RIGHT(db_sheet[Product ID],2)</f>
        <v>UK</v>
      </c>
      <c r="J12" s="10" t="str">
        <f>MID(db_sheet[Product ID],4,3)</f>
        <v>AUG</v>
      </c>
    </row>
    <row r="13" spans="1:13" ht="15.6" x14ac:dyDescent="0.3">
      <c r="A13" s="7" t="s">
        <v>35</v>
      </c>
      <c r="B13" s="8" t="s">
        <v>36</v>
      </c>
      <c r="C13" s="8" t="s">
        <v>37</v>
      </c>
      <c r="D13" s="8">
        <v>500</v>
      </c>
      <c r="E13" s="8">
        <v>50</v>
      </c>
      <c r="F13" s="8" t="s">
        <v>10</v>
      </c>
      <c r="G13" s="9" t="str">
        <f>IF(db_sheet[Price ($)]&gt;=500,"High Price","Standardprice")</f>
        <v>High Price</v>
      </c>
      <c r="H13" s="9" t="str">
        <f>LEFT(db_sheet[Product ID],2)</f>
        <v>05</v>
      </c>
      <c r="I13" s="9" t="str">
        <f>RIGHT(db_sheet[Product ID],2)</f>
        <v>UK</v>
      </c>
      <c r="J13" s="10" t="str">
        <f>MID(db_sheet[Product ID],4,3)</f>
        <v>SEP</v>
      </c>
    </row>
    <row r="14" spans="1:13" ht="15.6" x14ac:dyDescent="0.3">
      <c r="A14" s="11" t="s">
        <v>38</v>
      </c>
      <c r="B14" s="12" t="s">
        <v>39</v>
      </c>
      <c r="C14" s="12" t="s">
        <v>40</v>
      </c>
      <c r="D14" s="12">
        <v>130</v>
      </c>
      <c r="E14" s="12">
        <v>10</v>
      </c>
      <c r="F14" s="12" t="s">
        <v>25</v>
      </c>
      <c r="G14" s="9" t="str">
        <f>IF(db_sheet[Price ($)]&gt;=500,"High Price","Standardprice")</f>
        <v>Standardprice</v>
      </c>
      <c r="H14" s="9" t="str">
        <f>LEFT(db_sheet[Product ID],2)</f>
        <v>14</v>
      </c>
      <c r="I14" s="9" t="str">
        <f>RIGHT(db_sheet[Product ID],2)</f>
        <v>UK</v>
      </c>
      <c r="J14" s="10" t="str">
        <f>MID(db_sheet[Product ID],4,3)</f>
        <v>OCT</v>
      </c>
    </row>
    <row r="15" spans="1:13" ht="15.6" x14ac:dyDescent="0.3">
      <c r="A15" s="7" t="s">
        <v>41</v>
      </c>
      <c r="B15" s="8" t="s">
        <v>8</v>
      </c>
      <c r="C15" s="8" t="s">
        <v>42</v>
      </c>
      <c r="D15" s="8">
        <v>950</v>
      </c>
      <c r="E15" s="8">
        <v>25</v>
      </c>
      <c r="F15" s="8" t="s">
        <v>10</v>
      </c>
      <c r="G15" s="9" t="str">
        <f>IF(db_sheet[Price ($)]&gt;=500,"High Price","Standardprice")</f>
        <v>High Price</v>
      </c>
      <c r="H15" s="9" t="str">
        <f>LEFT(db_sheet[Product ID],2)</f>
        <v>17</v>
      </c>
      <c r="I15" s="9" t="str">
        <f>RIGHT(db_sheet[Product ID],2)</f>
        <v>IN</v>
      </c>
      <c r="J15" s="10" t="str">
        <f>MID(db_sheet[Product ID],4,3)</f>
        <v>JUN</v>
      </c>
    </row>
    <row r="16" spans="1:13" ht="15.6" x14ac:dyDescent="0.3">
      <c r="A16" s="11" t="s">
        <v>43</v>
      </c>
      <c r="B16" s="12" t="s">
        <v>12</v>
      </c>
      <c r="C16" s="12" t="s">
        <v>31</v>
      </c>
      <c r="D16" s="12">
        <v>90</v>
      </c>
      <c r="E16" s="12">
        <v>40</v>
      </c>
      <c r="F16" s="12" t="s">
        <v>14</v>
      </c>
      <c r="G16" s="9" t="str">
        <f>IF(db_sheet[Price ($)]&gt;=500,"High Price","Standardprice")</f>
        <v>Standardprice</v>
      </c>
      <c r="H16" s="9" t="str">
        <f>LEFT(db_sheet[Product ID],2)</f>
        <v>25</v>
      </c>
      <c r="I16" s="9" t="str">
        <f>RIGHT(db_sheet[Product ID],2)</f>
        <v>AU</v>
      </c>
      <c r="J16" s="10" t="str">
        <f>MID(db_sheet[Product ID],4,3)</f>
        <v>NOV</v>
      </c>
    </row>
    <row r="17" spans="1:10" ht="15.6" x14ac:dyDescent="0.3">
      <c r="A17" s="7" t="s">
        <v>44</v>
      </c>
      <c r="B17" s="8" t="s">
        <v>16</v>
      </c>
      <c r="C17" s="8" t="s">
        <v>45</v>
      </c>
      <c r="D17" s="8">
        <v>120</v>
      </c>
      <c r="E17" s="8">
        <v>35</v>
      </c>
      <c r="F17" s="8" t="s">
        <v>18</v>
      </c>
      <c r="G17" s="9" t="str">
        <f>IF(db_sheet[Price ($)]&gt;=500,"High Price","Standardprice")</f>
        <v>Standardprice</v>
      </c>
      <c r="H17" s="9" t="str">
        <f>LEFT(db_sheet[Product ID],2)</f>
        <v>08</v>
      </c>
      <c r="I17" s="9" t="str">
        <f>RIGHT(db_sheet[Product ID],2)</f>
        <v>DE</v>
      </c>
      <c r="J17" s="10" t="str">
        <f>MID(db_sheet[Product ID],4,3)</f>
        <v>DEC</v>
      </c>
    </row>
    <row r="18" spans="1:10" ht="15.6" x14ac:dyDescent="0.3">
      <c r="A18" s="11" t="s">
        <v>46</v>
      </c>
      <c r="B18" s="12" t="s">
        <v>47</v>
      </c>
      <c r="C18" s="12" t="s">
        <v>48</v>
      </c>
      <c r="D18" s="12">
        <v>150</v>
      </c>
      <c r="E18" s="12">
        <v>15</v>
      </c>
      <c r="F18" s="12" t="s">
        <v>10</v>
      </c>
      <c r="G18" s="9" t="str">
        <f>IF(db_sheet[Price ($)]&gt;=500,"High Price","Standardprice")</f>
        <v>Standardprice</v>
      </c>
      <c r="H18" s="9" t="str">
        <f>LEFT(db_sheet[Product ID],2)</f>
        <v>18</v>
      </c>
      <c r="I18" s="9" t="str">
        <f>RIGHT(db_sheet[Product ID],2)</f>
        <v>CA</v>
      </c>
      <c r="J18" s="10" t="str">
        <f>MID(db_sheet[Product ID],4,3)</f>
        <v>FEB</v>
      </c>
    </row>
    <row r="19" spans="1:10" ht="15.6" x14ac:dyDescent="0.3">
      <c r="A19" s="7" t="s">
        <v>49</v>
      </c>
      <c r="B19" s="8" t="s">
        <v>27</v>
      </c>
      <c r="C19" s="8" t="s">
        <v>50</v>
      </c>
      <c r="D19" s="8">
        <v>250</v>
      </c>
      <c r="E19" s="8">
        <v>20</v>
      </c>
      <c r="F19" s="8" t="s">
        <v>10</v>
      </c>
      <c r="G19" s="9" t="str">
        <f>IF(db_sheet[Price ($)]&gt;=500,"High Price","Standardprice")</f>
        <v>Standardprice</v>
      </c>
      <c r="H19" s="9" t="str">
        <f>LEFT(db_sheet[Product ID],2)</f>
        <v>16</v>
      </c>
      <c r="I19" s="9" t="str">
        <f>RIGHT(db_sheet[Product ID],2)</f>
        <v>ES</v>
      </c>
      <c r="J19" s="10" t="str">
        <f>MID(db_sheet[Product ID],4,3)</f>
        <v>APR</v>
      </c>
    </row>
    <row r="20" spans="1:10" ht="15.6" x14ac:dyDescent="0.3">
      <c r="A20" s="11" t="s">
        <v>51</v>
      </c>
      <c r="B20" s="12" t="s">
        <v>52</v>
      </c>
      <c r="C20" s="12" t="s">
        <v>53</v>
      </c>
      <c r="D20" s="12">
        <v>50</v>
      </c>
      <c r="E20" s="12">
        <v>35</v>
      </c>
      <c r="F20" s="12" t="s">
        <v>54</v>
      </c>
      <c r="G20" s="9" t="str">
        <f>IF(db_sheet[Price ($)]&gt;=500,"High Price","Standardprice")</f>
        <v>Standardprice</v>
      </c>
      <c r="H20" s="9" t="str">
        <f>LEFT(db_sheet[Product ID],2)</f>
        <v>21</v>
      </c>
      <c r="I20" s="9" t="str">
        <f>RIGHT(db_sheet[Product ID],2)</f>
        <v>CA</v>
      </c>
      <c r="J20" s="10" t="str">
        <f>MID(db_sheet[Product ID],4,3)</f>
        <v>AUG</v>
      </c>
    </row>
    <row r="21" spans="1:10" ht="15.6" x14ac:dyDescent="0.3">
      <c r="A21" s="7" t="s">
        <v>55</v>
      </c>
      <c r="B21" s="8" t="s">
        <v>47</v>
      </c>
      <c r="C21" s="8" t="s">
        <v>56</v>
      </c>
      <c r="D21" s="8">
        <v>160</v>
      </c>
      <c r="E21" s="8">
        <v>15</v>
      </c>
      <c r="F21" s="8" t="s">
        <v>10</v>
      </c>
      <c r="G21" s="9" t="str">
        <f>IF(db_sheet[Price ($)]&gt;=500,"High Price","Standardprice")</f>
        <v>Standardprice</v>
      </c>
      <c r="H21" s="9" t="str">
        <f>LEFT(db_sheet[Product ID],2)</f>
        <v>20</v>
      </c>
      <c r="I21" s="9" t="str">
        <f>RIGHT(db_sheet[Product ID],2)</f>
        <v>CN</v>
      </c>
      <c r="J21" s="10" t="str">
        <f>MID(db_sheet[Product ID],4,3)</f>
        <v>AUG</v>
      </c>
    </row>
    <row r="22" spans="1:10" ht="15.6" x14ac:dyDescent="0.3">
      <c r="A22" s="11" t="s">
        <v>57</v>
      </c>
      <c r="B22" s="12" t="s">
        <v>8</v>
      </c>
      <c r="C22" s="12" t="s">
        <v>58</v>
      </c>
      <c r="D22" s="12">
        <v>980</v>
      </c>
      <c r="E22" s="12">
        <v>10</v>
      </c>
      <c r="F22" s="12" t="s">
        <v>10</v>
      </c>
      <c r="G22" s="9" t="str">
        <f>IF(db_sheet[Price ($)]&gt;=500,"High Price","Standardprice")</f>
        <v>High Price</v>
      </c>
      <c r="H22" s="9" t="str">
        <f>LEFT(db_sheet[Product ID],2)</f>
        <v>27</v>
      </c>
      <c r="I22" s="9" t="str">
        <f>RIGHT(db_sheet[Product ID],2)</f>
        <v>IT</v>
      </c>
      <c r="J22" s="10" t="str">
        <f>MID(db_sheet[Product ID],4,3)</f>
        <v>JAN</v>
      </c>
    </row>
    <row r="23" spans="1:10" ht="15.6" x14ac:dyDescent="0.3">
      <c r="A23" s="7" t="s">
        <v>59</v>
      </c>
      <c r="B23" s="8" t="s">
        <v>60</v>
      </c>
      <c r="C23" s="8" t="s">
        <v>61</v>
      </c>
      <c r="D23" s="8">
        <v>150</v>
      </c>
      <c r="E23" s="8">
        <v>15</v>
      </c>
      <c r="F23" s="8" t="s">
        <v>14</v>
      </c>
      <c r="G23" s="9" t="str">
        <f>IF(db_sheet[Price ($)]&gt;=500,"High Price","Standardprice")</f>
        <v>Standardprice</v>
      </c>
      <c r="H23" s="9" t="str">
        <f>LEFT(db_sheet[Product ID],2)</f>
        <v>01</v>
      </c>
      <c r="I23" s="9" t="str">
        <f>RIGHT(db_sheet[Product ID],2)</f>
        <v>UK</v>
      </c>
      <c r="J23" s="10" t="str">
        <f>MID(db_sheet[Product ID],4,3)</f>
        <v>MAR</v>
      </c>
    </row>
    <row r="24" spans="1:10" ht="15.6" x14ac:dyDescent="0.3">
      <c r="A24" s="11" t="s">
        <v>62</v>
      </c>
      <c r="B24" s="12" t="s">
        <v>63</v>
      </c>
      <c r="C24" s="12" t="s">
        <v>64</v>
      </c>
      <c r="D24" s="12">
        <v>200</v>
      </c>
      <c r="E24" s="12">
        <v>10</v>
      </c>
      <c r="F24" s="12" t="s">
        <v>25</v>
      </c>
      <c r="G24" s="9" t="str">
        <f>IF(db_sheet[Price ($)]&gt;=500,"High Price","Standardprice")</f>
        <v>Standardprice</v>
      </c>
      <c r="H24" s="9" t="str">
        <f>LEFT(db_sheet[Product ID],2)</f>
        <v>14</v>
      </c>
      <c r="I24" s="9" t="str">
        <f>RIGHT(db_sheet[Product ID],2)</f>
        <v>US</v>
      </c>
      <c r="J24" s="10" t="str">
        <f>MID(db_sheet[Product ID],4,3)</f>
        <v>AUG</v>
      </c>
    </row>
    <row r="25" spans="1:10" ht="15.6" x14ac:dyDescent="0.3">
      <c r="A25" s="7" t="s">
        <v>65</v>
      </c>
      <c r="B25" s="8" t="s">
        <v>66</v>
      </c>
      <c r="C25" s="8" t="s">
        <v>67</v>
      </c>
      <c r="D25" s="8">
        <v>700</v>
      </c>
      <c r="E25" s="8">
        <v>50</v>
      </c>
      <c r="F25" s="8" t="s">
        <v>10</v>
      </c>
      <c r="G25" s="9" t="str">
        <f>IF(db_sheet[Price ($)]&gt;=500,"High Price","Standardprice")</f>
        <v>High Price</v>
      </c>
      <c r="H25" s="9" t="str">
        <f>LEFT(db_sheet[Product ID],2)</f>
        <v>14</v>
      </c>
      <c r="I25" s="9" t="str">
        <f>RIGHT(db_sheet[Product ID],2)</f>
        <v>RU</v>
      </c>
      <c r="J25" s="10" t="str">
        <f>MID(db_sheet[Product ID],4,3)</f>
        <v>MAY</v>
      </c>
    </row>
    <row r="26" spans="1:10" ht="15.6" x14ac:dyDescent="0.3">
      <c r="A26" s="11" t="s">
        <v>68</v>
      </c>
      <c r="B26" s="12" t="s">
        <v>69</v>
      </c>
      <c r="C26" s="12" t="s">
        <v>70</v>
      </c>
      <c r="D26" s="12">
        <v>80</v>
      </c>
      <c r="E26" s="12">
        <v>20</v>
      </c>
      <c r="F26" s="12" t="s">
        <v>18</v>
      </c>
      <c r="G26" s="9" t="str">
        <f>IF(db_sheet[Price ($)]&gt;=500,"High Price","Standardprice")</f>
        <v>Standardprice</v>
      </c>
      <c r="H26" s="9" t="str">
        <f>LEFT(db_sheet[Product ID],2)</f>
        <v>09</v>
      </c>
      <c r="I26" s="9" t="str">
        <f>RIGHT(db_sheet[Product ID],2)</f>
        <v>CA</v>
      </c>
      <c r="J26" s="10" t="str">
        <f>MID(db_sheet[Product ID],4,3)</f>
        <v>JAN</v>
      </c>
    </row>
    <row r="27" spans="1:10" ht="15.6" x14ac:dyDescent="0.3">
      <c r="A27" s="7" t="s">
        <v>71</v>
      </c>
      <c r="B27" s="8" t="s">
        <v>72</v>
      </c>
      <c r="C27" s="8" t="s">
        <v>73</v>
      </c>
      <c r="D27" s="8">
        <v>150</v>
      </c>
      <c r="E27" s="8">
        <v>30</v>
      </c>
      <c r="F27" s="8" t="s">
        <v>10</v>
      </c>
      <c r="G27" s="9" t="str">
        <f>IF(db_sheet[Price ($)]&gt;=500,"High Price","Standardprice")</f>
        <v>Standardprice</v>
      </c>
      <c r="H27" s="9" t="str">
        <f>LEFT(db_sheet[Product ID],2)</f>
        <v>19</v>
      </c>
      <c r="I27" s="9" t="str">
        <f>RIGHT(db_sheet[Product ID],2)</f>
        <v>BR</v>
      </c>
      <c r="J27" s="10" t="str">
        <f>MID(db_sheet[Product ID],4,3)</f>
        <v>JUL</v>
      </c>
    </row>
    <row r="28" spans="1:10" ht="15.6" x14ac:dyDescent="0.3">
      <c r="A28" s="11" t="s">
        <v>51</v>
      </c>
      <c r="B28" s="12" t="s">
        <v>52</v>
      </c>
      <c r="C28" s="12" t="s">
        <v>53</v>
      </c>
      <c r="D28" s="12">
        <v>50</v>
      </c>
      <c r="E28" s="12">
        <v>35</v>
      </c>
      <c r="F28" s="12" t="s">
        <v>54</v>
      </c>
      <c r="G28" s="9" t="str">
        <f>IF(db_sheet[Price ($)]&gt;=500,"High Price","Standardprice")</f>
        <v>Standardprice</v>
      </c>
      <c r="H28" s="9" t="str">
        <f>LEFT(db_sheet[Product ID],2)</f>
        <v>21</v>
      </c>
      <c r="I28" s="9" t="str">
        <f>RIGHT(db_sheet[Product ID],2)</f>
        <v>CA</v>
      </c>
      <c r="J28" s="10" t="str">
        <f>MID(db_sheet[Product ID],4,3)</f>
        <v>AUG</v>
      </c>
    </row>
    <row r="29" spans="1:10" ht="15.6" x14ac:dyDescent="0.3">
      <c r="A29" s="7" t="s">
        <v>74</v>
      </c>
      <c r="B29" s="8" t="s">
        <v>20</v>
      </c>
      <c r="C29" s="8" t="s">
        <v>75</v>
      </c>
      <c r="D29" s="8">
        <v>800</v>
      </c>
      <c r="E29" s="8">
        <v>45</v>
      </c>
      <c r="F29" s="8" t="s">
        <v>10</v>
      </c>
      <c r="G29" s="9" t="str">
        <f>IF(db_sheet[Price ($)]&gt;=500,"High Price","Standardprice")</f>
        <v>High Price</v>
      </c>
      <c r="H29" s="9" t="str">
        <f>LEFT(db_sheet[Product ID],2)</f>
        <v>29</v>
      </c>
      <c r="I29" s="9" t="str">
        <f>RIGHT(db_sheet[Product ID],2)</f>
        <v>CA</v>
      </c>
      <c r="J29" s="10" t="str">
        <f>MID(db_sheet[Product ID],4,3)</f>
        <v>SEP</v>
      </c>
    </row>
    <row r="30" spans="1:10" ht="15.6" x14ac:dyDescent="0.3">
      <c r="A30" s="11" t="s">
        <v>76</v>
      </c>
      <c r="B30" s="12" t="s">
        <v>60</v>
      </c>
      <c r="C30" s="12" t="s">
        <v>77</v>
      </c>
      <c r="D30" s="12">
        <v>130</v>
      </c>
      <c r="E30" s="12">
        <v>25</v>
      </c>
      <c r="F30" s="12" t="s">
        <v>14</v>
      </c>
      <c r="G30" s="9" t="str">
        <f>IF(db_sheet[Price ($)]&gt;=500,"High Price","Standardprice")</f>
        <v>Standardprice</v>
      </c>
      <c r="H30" s="9" t="str">
        <f>LEFT(db_sheet[Product ID],2)</f>
        <v>03</v>
      </c>
      <c r="I30" s="9" t="str">
        <f>RIGHT(db_sheet[Product ID],2)</f>
        <v>CA</v>
      </c>
      <c r="J30" s="10" t="str">
        <f>MID(db_sheet[Product ID],4,3)</f>
        <v>JUN</v>
      </c>
    </row>
    <row r="31" spans="1:10" ht="15.6" x14ac:dyDescent="0.3">
      <c r="A31" s="7" t="s">
        <v>78</v>
      </c>
      <c r="B31" s="8" t="s">
        <v>33</v>
      </c>
      <c r="C31" s="8" t="s">
        <v>79</v>
      </c>
      <c r="D31" s="8">
        <v>400</v>
      </c>
      <c r="E31" s="8">
        <v>40</v>
      </c>
      <c r="F31" s="8" t="s">
        <v>18</v>
      </c>
      <c r="G31" s="9" t="str">
        <f>IF(db_sheet[Price ($)]&gt;=500,"High Price","Standardprice")</f>
        <v>Standardprice</v>
      </c>
      <c r="H31" s="9" t="str">
        <f>LEFT(db_sheet[Product ID],2)</f>
        <v>11</v>
      </c>
      <c r="I31" s="9" t="str">
        <f>RIGHT(db_sheet[Product ID],2)</f>
        <v>CA</v>
      </c>
      <c r="J31" s="10" t="str">
        <f>MID(db_sheet[Product ID],4,3)</f>
        <v>JUL</v>
      </c>
    </row>
    <row r="32" spans="1:10" ht="15.6" x14ac:dyDescent="0.3">
      <c r="A32" s="11" t="s">
        <v>49</v>
      </c>
      <c r="B32" s="12" t="s">
        <v>27</v>
      </c>
      <c r="C32" s="12" t="s">
        <v>50</v>
      </c>
      <c r="D32" s="12">
        <v>230</v>
      </c>
      <c r="E32" s="12">
        <v>20</v>
      </c>
      <c r="F32" s="12" t="s">
        <v>10</v>
      </c>
      <c r="G32" s="9" t="str">
        <f>IF(db_sheet[Price ($)]&gt;=500,"High Price","Standardprice")</f>
        <v>Standardprice</v>
      </c>
      <c r="H32" s="9" t="str">
        <f>LEFT(db_sheet[Product ID],2)</f>
        <v>16</v>
      </c>
      <c r="I32" s="9" t="str">
        <f>RIGHT(db_sheet[Product ID],2)</f>
        <v>ES</v>
      </c>
      <c r="J32" s="10" t="str">
        <f>MID(db_sheet[Product ID],4,3)</f>
        <v>APR</v>
      </c>
    </row>
    <row r="33" spans="1:10" ht="15.6" x14ac:dyDescent="0.3">
      <c r="A33" s="7" t="s">
        <v>80</v>
      </c>
      <c r="B33" s="8" t="s">
        <v>81</v>
      </c>
      <c r="C33" s="8" t="s">
        <v>82</v>
      </c>
      <c r="D33" s="8">
        <v>60</v>
      </c>
      <c r="E33" s="8">
        <v>30</v>
      </c>
      <c r="F33" s="8" t="s">
        <v>14</v>
      </c>
      <c r="G33" s="9" t="str">
        <f>IF(db_sheet[Price ($)]&gt;=500,"High Price","Standardprice")</f>
        <v>Standardprice</v>
      </c>
      <c r="H33" s="9" t="str">
        <f>LEFT(db_sheet[Product ID],2)</f>
        <v>07</v>
      </c>
      <c r="I33" s="9" t="str">
        <f>RIGHT(db_sheet[Product ID],2)</f>
        <v>CA</v>
      </c>
      <c r="J33" s="10" t="str">
        <f>MID(db_sheet[Product ID],4,3)</f>
        <v>MAR</v>
      </c>
    </row>
    <row r="34" spans="1:10" ht="15.6" x14ac:dyDescent="0.3">
      <c r="A34" s="11" t="s">
        <v>83</v>
      </c>
      <c r="B34" s="12" t="s">
        <v>84</v>
      </c>
      <c r="C34" s="12" t="s">
        <v>85</v>
      </c>
      <c r="D34" s="12">
        <v>40</v>
      </c>
      <c r="E34" s="12">
        <v>10</v>
      </c>
      <c r="F34" s="12" t="s">
        <v>18</v>
      </c>
      <c r="G34" s="9" t="str">
        <f>IF(db_sheet[Price ($)]&gt;=500,"High Price","Standardprice")</f>
        <v>Standardprice</v>
      </c>
      <c r="H34" s="9" t="str">
        <f>LEFT(db_sheet[Product ID],2)</f>
        <v>13</v>
      </c>
      <c r="I34" s="9" t="str">
        <f>RIGHT(db_sheet[Product ID],2)</f>
        <v>CA</v>
      </c>
      <c r="J34" s="10" t="str">
        <f>MID(db_sheet[Product ID],4,3)</f>
        <v>APR</v>
      </c>
    </row>
    <row r="35" spans="1:10" ht="15.6" x14ac:dyDescent="0.3">
      <c r="A35" s="7" t="s">
        <v>86</v>
      </c>
      <c r="B35" s="8" t="s">
        <v>72</v>
      </c>
      <c r="C35" s="8" t="s">
        <v>87</v>
      </c>
      <c r="D35" s="8">
        <v>130</v>
      </c>
      <c r="E35" s="8">
        <v>5</v>
      </c>
      <c r="F35" s="8" t="s">
        <v>10</v>
      </c>
      <c r="G35" s="9" t="str">
        <f>IF(db_sheet[Price ($)]&gt;=500,"High Price","Standardprice")</f>
        <v>Standardprice</v>
      </c>
      <c r="H35" s="9" t="str">
        <f>LEFT(db_sheet[Product ID],2)</f>
        <v>24</v>
      </c>
      <c r="I35" s="9" t="str">
        <f>RIGHT(db_sheet[Product ID],2)</f>
        <v>CA</v>
      </c>
      <c r="J35" s="10" t="str">
        <f>MID(db_sheet[Product ID],4,3)</f>
        <v>MAY</v>
      </c>
    </row>
    <row r="36" spans="1:10" ht="15.6" x14ac:dyDescent="0.3">
      <c r="A36" s="11" t="s">
        <v>88</v>
      </c>
      <c r="B36" s="12" t="s">
        <v>89</v>
      </c>
      <c r="C36" s="12" t="s">
        <v>90</v>
      </c>
      <c r="D36" s="12">
        <v>50</v>
      </c>
      <c r="E36" s="12">
        <v>50</v>
      </c>
      <c r="F36" s="12" t="s">
        <v>14</v>
      </c>
      <c r="G36" s="9" t="str">
        <f>IF(db_sheet[Price ($)]&gt;=500,"High Price","Standardprice")</f>
        <v>Standardprice</v>
      </c>
      <c r="H36" s="9" t="str">
        <f>LEFT(db_sheet[Product ID],2)</f>
        <v>02</v>
      </c>
      <c r="I36" s="9" t="str">
        <f>RIGHT(db_sheet[Product ID],2)</f>
        <v>CA</v>
      </c>
      <c r="J36" s="10" t="str">
        <f>MID(db_sheet[Product ID],4,3)</f>
        <v>DEC</v>
      </c>
    </row>
    <row r="37" spans="1:10" ht="15.6" x14ac:dyDescent="0.3">
      <c r="A37" s="7" t="s">
        <v>41</v>
      </c>
      <c r="B37" s="8" t="s">
        <v>8</v>
      </c>
      <c r="C37" s="8" t="s">
        <v>42</v>
      </c>
      <c r="D37" s="8">
        <v>950</v>
      </c>
      <c r="E37" s="8">
        <v>25</v>
      </c>
      <c r="F37" s="8" t="s">
        <v>10</v>
      </c>
      <c r="G37" s="9" t="str">
        <f>IF(db_sheet[Price ($)]&gt;=500,"High Price","Standardprice")</f>
        <v>High Price</v>
      </c>
      <c r="H37" s="9" t="str">
        <f>LEFT(db_sheet[Product ID],2)</f>
        <v>17</v>
      </c>
      <c r="I37" s="9" t="str">
        <f>RIGHT(db_sheet[Product ID],2)</f>
        <v>IN</v>
      </c>
      <c r="J37" s="10" t="str">
        <f>MID(db_sheet[Product ID],4,3)</f>
        <v>JUN</v>
      </c>
    </row>
    <row r="38" spans="1:10" ht="15.6" x14ac:dyDescent="0.3">
      <c r="A38" s="13" t="s">
        <v>91</v>
      </c>
      <c r="B38" s="14" t="s">
        <v>92</v>
      </c>
      <c r="C38" s="14" t="s">
        <v>93</v>
      </c>
      <c r="D38" s="14">
        <v>100</v>
      </c>
      <c r="E38" s="14">
        <v>20</v>
      </c>
      <c r="F38" s="14" t="s">
        <v>54</v>
      </c>
      <c r="G38" s="15" t="str">
        <f>IF(db_sheet[Price ($)]&gt;=500,"High Price","Standardprice")</f>
        <v>Standardprice</v>
      </c>
      <c r="H38" s="15" t="str">
        <f>LEFT(db_sheet[Product ID],2)</f>
        <v>09</v>
      </c>
      <c r="I38" s="15" t="str">
        <f>RIGHT(db_sheet[Product ID],2)</f>
        <v>FR</v>
      </c>
      <c r="J38" s="16" t="str">
        <f>MID(db_sheet[Product ID],4,3)</f>
        <v>JUL</v>
      </c>
    </row>
  </sheetData>
  <mergeCells count="2">
    <mergeCell ref="A1:J1"/>
    <mergeCell ref="A2:J2"/>
  </mergeCells>
  <pageMargins left="0.7" right="0.7" top="0.75" bottom="0.75" header="0.3" footer="0.3"/>
  <pageSetup scale="6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tabSelected="1" workbookViewId="0">
      <selection activeCell="F17" sqref="F17"/>
    </sheetView>
  </sheetViews>
  <sheetFormatPr defaultRowHeight="14.4" x14ac:dyDescent="0.3"/>
  <cols>
    <col min="1" max="1" width="31.44140625" customWidth="1"/>
    <col min="2" max="2" width="16.33203125" customWidth="1"/>
    <col min="3" max="3" width="32.5546875" customWidth="1"/>
    <col min="4" max="4" width="11.6640625" customWidth="1"/>
    <col min="5" max="5" width="15.5546875" customWidth="1"/>
    <col min="6" max="6" width="20" customWidth="1"/>
    <col min="8" max="8" width="52.77734375" customWidth="1"/>
    <col min="9" max="9" width="20.88671875" customWidth="1"/>
    <col min="10" max="10" width="25.21875" customWidth="1"/>
  </cols>
  <sheetData>
    <row r="1" spans="1:10" ht="28.2" customHeight="1" x14ac:dyDescent="0.3">
      <c r="A1" s="23" t="s">
        <v>99</v>
      </c>
      <c r="B1" s="24"/>
      <c r="C1" s="24"/>
      <c r="D1" s="24"/>
      <c r="E1" s="24"/>
      <c r="F1" s="24"/>
    </row>
    <row r="2" spans="1:10" ht="22.8" customHeight="1" x14ac:dyDescent="0.3">
      <c r="A2" s="25" t="s">
        <v>100</v>
      </c>
      <c r="B2" s="26"/>
      <c r="C2" s="26"/>
      <c r="D2" s="26"/>
      <c r="E2" s="26"/>
      <c r="F2" s="26"/>
    </row>
    <row r="4" spans="1:10" x14ac:dyDescent="0.3">
      <c r="A4" s="28" t="s">
        <v>109</v>
      </c>
      <c r="B4" s="29"/>
      <c r="C4" s="28" t="s">
        <v>101</v>
      </c>
      <c r="D4" s="29"/>
      <c r="E4" s="28" t="s">
        <v>123</v>
      </c>
      <c r="F4" s="29"/>
      <c r="G4" s="28" t="s">
        <v>103</v>
      </c>
      <c r="H4" s="29"/>
      <c r="I4" s="28" t="s">
        <v>104</v>
      </c>
      <c r="J4" s="29"/>
    </row>
    <row r="5" spans="1:10" x14ac:dyDescent="0.3">
      <c r="A5" s="35">
        <v>10100</v>
      </c>
      <c r="B5" s="31"/>
      <c r="C5" s="32">
        <v>34</v>
      </c>
      <c r="D5" s="31"/>
      <c r="E5" s="30">
        <v>297.06</v>
      </c>
      <c r="F5" s="31"/>
      <c r="G5" s="35">
        <v>8050</v>
      </c>
      <c r="H5" s="31"/>
      <c r="I5" s="32">
        <v>11</v>
      </c>
      <c r="J5" s="31"/>
    </row>
    <row r="6" spans="1:10" x14ac:dyDescent="0.3">
      <c r="A6" s="32"/>
      <c r="B6" s="31"/>
      <c r="C6" s="32"/>
      <c r="D6" s="31"/>
      <c r="E6" s="32"/>
      <c r="F6" s="31"/>
      <c r="G6" s="32"/>
      <c r="H6" s="31"/>
      <c r="I6" s="32"/>
      <c r="J6" s="31"/>
    </row>
    <row r="7" spans="1:10" x14ac:dyDescent="0.3">
      <c r="A7" s="33" t="s">
        <v>124</v>
      </c>
      <c r="B7" s="34"/>
      <c r="C7" s="33" t="s">
        <v>125</v>
      </c>
      <c r="D7" s="34"/>
      <c r="E7" s="38" t="s">
        <v>126</v>
      </c>
      <c r="F7" s="37"/>
      <c r="G7" s="36" t="s">
        <v>127</v>
      </c>
      <c r="H7" s="37"/>
      <c r="I7" s="36" t="s">
        <v>128</v>
      </c>
      <c r="J7" s="37"/>
    </row>
    <row r="9" spans="1:10" ht="18" customHeight="1" thickBot="1" x14ac:dyDescent="0.35">
      <c r="A9" s="27" t="s">
        <v>105</v>
      </c>
      <c r="B9" s="24"/>
      <c r="C9" s="24"/>
      <c r="D9" s="24"/>
    </row>
    <row r="10" spans="1:10" ht="15" thickBot="1" x14ac:dyDescent="0.35">
      <c r="A10" s="17" t="s">
        <v>106</v>
      </c>
      <c r="B10" s="17" t="s">
        <v>107</v>
      </c>
      <c r="C10" s="17" t="s">
        <v>108</v>
      </c>
    </row>
    <row r="11" spans="1:10" ht="19.2" customHeight="1" thickBot="1" x14ac:dyDescent="0.35">
      <c r="A11" s="18" t="s">
        <v>110</v>
      </c>
      <c r="B11" s="18">
        <f>SUM(db_sheet[Price ($)])</f>
        <v>10100</v>
      </c>
      <c r="C11" s="18" t="s">
        <v>119</v>
      </c>
    </row>
    <row r="12" spans="1:10" ht="19.2" customHeight="1" thickBot="1" x14ac:dyDescent="0.35">
      <c r="A12" s="18" t="s">
        <v>111</v>
      </c>
      <c r="B12" s="18">
        <f>COUNTA(db_sheet[Product ID])</f>
        <v>34</v>
      </c>
      <c r="C12" s="18" t="s">
        <v>118</v>
      </c>
    </row>
    <row r="13" spans="1:10" ht="19.2" customHeight="1" thickBot="1" x14ac:dyDescent="0.35">
      <c r="A13" s="18" t="s">
        <v>112</v>
      </c>
      <c r="B13" s="19">
        <f>AVERAGE(db_sheet[Price ($)])</f>
        <v>297.05882352941177</v>
      </c>
      <c r="C13" s="18" t="s">
        <v>102</v>
      </c>
    </row>
    <row r="14" spans="1:10" ht="19.2" customHeight="1" thickBot="1" x14ac:dyDescent="0.35">
      <c r="A14" s="18" t="s">
        <v>113</v>
      </c>
      <c r="B14" s="18">
        <f>MIN(db_sheet[Price ($)])</f>
        <v>30</v>
      </c>
      <c r="C14" s="18" t="s">
        <v>114</v>
      </c>
    </row>
    <row r="15" spans="1:10" ht="19.2" customHeight="1" thickBot="1" x14ac:dyDescent="0.35">
      <c r="A15" s="18" t="s">
        <v>121</v>
      </c>
      <c r="B15" s="18">
        <f>MAX(db_sheet[Price ($)])</f>
        <v>1000</v>
      </c>
      <c r="C15" s="18" t="s">
        <v>115</v>
      </c>
    </row>
    <row r="16" spans="1:10" ht="19.2" customHeight="1" thickBot="1" x14ac:dyDescent="0.35">
      <c r="A16" s="18" t="s">
        <v>120</v>
      </c>
      <c r="B16" s="18">
        <f>SUMIF(db_sheet[Category],"electronics",db_sheet[Price ($)])</f>
        <v>8050</v>
      </c>
      <c r="C16" s="18" t="s">
        <v>116</v>
      </c>
    </row>
    <row r="17" spans="1:3" ht="19.8" customHeight="1" thickBot="1" x14ac:dyDescent="0.35">
      <c r="A17" s="18" t="s">
        <v>122</v>
      </c>
      <c r="B17" s="18">
        <f>COUNTIF(db_sheet[Price ($)], "&lt;100")</f>
        <v>11</v>
      </c>
      <c r="C17" s="18" t="s">
        <v>117</v>
      </c>
    </row>
  </sheetData>
  <mergeCells count="18">
    <mergeCell ref="A9:D9"/>
    <mergeCell ref="E7:F7"/>
    <mergeCell ref="G4:H4"/>
    <mergeCell ref="G5:H6"/>
    <mergeCell ref="G7:H7"/>
    <mergeCell ref="I4:J4"/>
    <mergeCell ref="I5:J6"/>
    <mergeCell ref="I7:J7"/>
    <mergeCell ref="A1:F1"/>
    <mergeCell ref="A2:F2"/>
    <mergeCell ref="A4:B4"/>
    <mergeCell ref="A5:B6"/>
    <mergeCell ref="A7:B7"/>
    <mergeCell ref="C4:D4"/>
    <mergeCell ref="C5:D6"/>
    <mergeCell ref="C7:D7"/>
    <mergeCell ref="E4:F4"/>
    <mergeCell ref="E5:F6"/>
  </mergeCells>
  <pageMargins left="0.7" right="0.7" top="0.75" bottom="0.75" header="0.3" footer="0.3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Analysis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2026-10-26T12:32:06Z</cp:lastPrinted>
  <dcterms:created xsi:type="dcterms:W3CDTF">2026-10-25T15:41:38Z</dcterms:created>
  <dcterms:modified xsi:type="dcterms:W3CDTF">2026-10-26T12:34:56Z</dcterms:modified>
</cp:coreProperties>
</file>